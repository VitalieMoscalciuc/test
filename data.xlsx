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  <sheet name="Лист3" sheetId="3" r:id="rId3"/>
  </sheets>
  <calcPr calcId="145621"/>
  <fileRecoveryPr repairLoad="1"/>
</workbook>
</file>

<file path=xl/calcChain.xml><?xml version="1.0" encoding="utf-8"?>
<calcChain xmlns="http://schemas.openxmlformats.org/spreadsheetml/2006/main">
  <c r="H77" i="2" l="1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58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24" i="2"/>
  <c r="M6" i="2"/>
  <c r="M3" i="2"/>
  <c r="F48" i="2"/>
  <c r="F49" i="2"/>
  <c r="F50" i="2"/>
  <c r="F51" i="2"/>
  <c r="F52" i="2"/>
  <c r="F47" i="2"/>
  <c r="U26" i="2"/>
  <c r="U27" i="2"/>
  <c r="U28" i="2"/>
  <c r="U29" i="2"/>
  <c r="U30" i="2"/>
  <c r="U31" i="2"/>
  <c r="U32" i="2"/>
  <c r="U25" i="2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</calcChain>
</file>

<file path=xl/sharedStrings.xml><?xml version="1.0" encoding="utf-8"?>
<sst xmlns="http://schemas.openxmlformats.org/spreadsheetml/2006/main" count="185" uniqueCount="175">
  <si>
    <t>id_angajat</t>
  </si>
  <si>
    <t>id_functia</t>
  </si>
  <si>
    <t>nume</t>
  </si>
  <si>
    <t>prenume</t>
  </si>
  <si>
    <t>data_angajarii</t>
  </si>
  <si>
    <t>nr_telefon</t>
  </si>
  <si>
    <t>adresa</t>
  </si>
  <si>
    <t>salariu</t>
  </si>
  <si>
    <t>Moscalciuc</t>
  </si>
  <si>
    <t>Vitalie</t>
  </si>
  <si>
    <t>+(373) 61-471-512</t>
  </si>
  <si>
    <t>Str. Victoriei 2</t>
  </si>
  <si>
    <t>Gumeniuc</t>
  </si>
  <si>
    <t>Vlada</t>
  </si>
  <si>
    <t>+(373) 73-812-098</t>
  </si>
  <si>
    <t>Str. Uzinelor 9</t>
  </si>
  <si>
    <t>Gaivas</t>
  </si>
  <si>
    <t>Loredana</t>
  </si>
  <si>
    <t>+(373) 26-363-541</t>
  </si>
  <si>
    <t>Str. Stefan cel Mare 37/2</t>
  </si>
  <si>
    <t>Gorcenco</t>
  </si>
  <si>
    <t>Daniel</t>
  </si>
  <si>
    <t>+(373) 36-365-881</t>
  </si>
  <si>
    <t>Str. Albisoara 11</t>
  </si>
  <si>
    <t>Caras</t>
  </si>
  <si>
    <t>Stanislav</t>
  </si>
  <si>
    <t>+(373) 81-896-461</t>
  </si>
  <si>
    <t>Str. Constantin Tanase</t>
  </si>
  <si>
    <t>Soimu</t>
  </si>
  <si>
    <t>Victoria</t>
  </si>
  <si>
    <t>+(373) 17-631-248</t>
  </si>
  <si>
    <t>Str. Corlatenilor 17</t>
  </si>
  <si>
    <t>Erhan</t>
  </si>
  <si>
    <t>Sergiu</t>
  </si>
  <si>
    <t>+(373) 67-182-948</t>
  </si>
  <si>
    <t>Str. Gradinilor 93</t>
  </si>
  <si>
    <t>Dorosenco</t>
  </si>
  <si>
    <t>Maria</t>
  </si>
  <si>
    <t>+(373) 26-325-419</t>
  </si>
  <si>
    <t>Str. Petru Maior 33</t>
  </si>
  <si>
    <t>Buciuceanu</t>
  </si>
  <si>
    <t>Mihail</t>
  </si>
  <si>
    <t>+(373) 72-987-438</t>
  </si>
  <si>
    <t>Str. Mihai Eminescu 6/1</t>
  </si>
  <si>
    <t>Lazar</t>
  </si>
  <si>
    <t>Stela</t>
  </si>
  <si>
    <t>+(373) 73-828-477</t>
  </si>
  <si>
    <t>Str. Mihail Sadoveanu 33</t>
  </si>
  <si>
    <t>Matiescu</t>
  </si>
  <si>
    <t>Daniela</t>
  </si>
  <si>
    <t>+(373) 77-773-871</t>
  </si>
  <si>
    <t>Str. Tighina 104/2</t>
  </si>
  <si>
    <t>Calaras</t>
  </si>
  <si>
    <t>Maxim</t>
  </si>
  <si>
    <t>+(373) 37-363-287</t>
  </si>
  <si>
    <t>Str. Eugen Doga 34</t>
  </si>
  <si>
    <t>Elena</t>
  </si>
  <si>
    <t>+(373) 90-180-937</t>
  </si>
  <si>
    <t>Str. Miron Costin 11</t>
  </si>
  <si>
    <t>Spinu</t>
  </si>
  <si>
    <t>Andreea</t>
  </si>
  <si>
    <t>+(373) 01-874-918</t>
  </si>
  <si>
    <t>Str. Decebal 10</t>
  </si>
  <si>
    <t>Lai</t>
  </si>
  <si>
    <t>Ecaterina</t>
  </si>
  <si>
    <t>+(373) 83-873-621</t>
  </si>
  <si>
    <t>Str. Decebal 164/4</t>
  </si>
  <si>
    <t>Tarabuta</t>
  </si>
  <si>
    <t>Catalin</t>
  </si>
  <si>
    <t>+(373) 87-389-618</t>
  </si>
  <si>
    <t>Str. Vadul Bircului</t>
  </si>
  <si>
    <t>Rusu</t>
  </si>
  <si>
    <t>+(373) 12-194-715</t>
  </si>
  <si>
    <t>Str. Cahulului 77/2</t>
  </si>
  <si>
    <t>Cod Client</t>
  </si>
  <si>
    <t>Nume</t>
  </si>
  <si>
    <t>Prenume</t>
  </si>
  <si>
    <t>Nr de telefon</t>
  </si>
  <si>
    <t>Adresa curenta</t>
  </si>
  <si>
    <t>Aldosari</t>
  </si>
  <si>
    <t>Evelina</t>
  </si>
  <si>
    <t>+(373) 37-637-676</t>
  </si>
  <si>
    <t>Str. Vadul Bicului 29</t>
  </si>
  <si>
    <t>Arabadji</t>
  </si>
  <si>
    <t>Antonina</t>
  </si>
  <si>
    <t>+(373) 56-576-472</t>
  </si>
  <si>
    <t>Str. Aeroportului 13</t>
  </si>
  <si>
    <t>Barbacari</t>
  </si>
  <si>
    <t>Otilia</t>
  </si>
  <si>
    <t>+(373) 36-362-322</t>
  </si>
  <si>
    <t>Str. Bulgara 199</t>
  </si>
  <si>
    <t>Bujor</t>
  </si>
  <si>
    <t>Doina</t>
  </si>
  <si>
    <t>+(373) 46-487-867</t>
  </si>
  <si>
    <t>Str. Eugen Doga 5</t>
  </si>
  <si>
    <t>Bulhac</t>
  </si>
  <si>
    <t>Ion</t>
  </si>
  <si>
    <t>+(373) 67-356-254</t>
  </si>
  <si>
    <t>Str. Miron Costin 55</t>
  </si>
  <si>
    <t>Calistru</t>
  </si>
  <si>
    <t>Alexandr</t>
  </si>
  <si>
    <t>+(373) 26-758-579</t>
  </si>
  <si>
    <t>Str. Constantin Negruzzi 55</t>
  </si>
  <si>
    <t>Cojocaru</t>
  </si>
  <si>
    <t>+(373) 45-678-766</t>
  </si>
  <si>
    <t>Str. Florilor 21</t>
  </si>
  <si>
    <t>Covali</t>
  </si>
  <si>
    <t>+(373) 45-789-677</t>
  </si>
  <si>
    <t>Str. Decebal 194</t>
  </si>
  <si>
    <t>Cungurov</t>
  </si>
  <si>
    <t>Vlad</t>
  </si>
  <si>
    <t>+(373) 47-556-762</t>
  </si>
  <si>
    <t>Str. Tighina 100</t>
  </si>
  <si>
    <t>Darii</t>
  </si>
  <si>
    <t>Cristina</t>
  </si>
  <si>
    <t>+(373) 75-658-672</t>
  </si>
  <si>
    <t>Str. Stefan cel Mare 29</t>
  </si>
  <si>
    <t>Esanu</t>
  </si>
  <si>
    <t>+(373) 78-798-733</t>
  </si>
  <si>
    <t>Str. Eugen Doga 92</t>
  </si>
  <si>
    <t>Gangan</t>
  </si>
  <si>
    <t>Anastasia</t>
  </si>
  <si>
    <t>+(373) 76-934-634</t>
  </si>
  <si>
    <t>Str. Uzinelor 11</t>
  </si>
  <si>
    <t>Gargaun</t>
  </si>
  <si>
    <t>Iulian-Pavel</t>
  </si>
  <si>
    <t>+(373) 65-865-227</t>
  </si>
  <si>
    <t>Str. Albisoara 19</t>
  </si>
  <si>
    <t/>
  </si>
  <si>
    <t>Cristian</t>
  </si>
  <si>
    <t>+(373) 27-552-254</t>
  </si>
  <si>
    <t>Str. Mitskevici 22</t>
  </si>
  <si>
    <t>Gorbulea</t>
  </si>
  <si>
    <t>+(373) 44-541-984</t>
  </si>
  <si>
    <t>Str. Florilor 1</t>
  </si>
  <si>
    <t>Gradinari</t>
  </si>
  <si>
    <t>+(373) 15-964-615</t>
  </si>
  <si>
    <t>Str. Miron Costin 56</t>
  </si>
  <si>
    <t>Grosu</t>
  </si>
  <si>
    <t>Alexandrina</t>
  </si>
  <si>
    <t>+(373) 51-659-645</t>
  </si>
  <si>
    <t>Str. Mihai Eminescu 29</t>
  </si>
  <si>
    <t>Hargel</t>
  </si>
  <si>
    <t>Gabriela</t>
  </si>
  <si>
    <t>+(373) 65-487-496</t>
  </si>
  <si>
    <t>Str.Corlatenilor 63</t>
  </si>
  <si>
    <t>Liceaghina</t>
  </si>
  <si>
    <t>+(373) 65-496-498</t>
  </si>
  <si>
    <t>Str. Cojeduba 22</t>
  </si>
  <si>
    <t>Marcu</t>
  </si>
  <si>
    <t>Sandu</t>
  </si>
  <si>
    <t>+(373) 65-487-498</t>
  </si>
  <si>
    <t>Str. Vadul lui Voda 25</t>
  </si>
  <si>
    <t>denumire</t>
  </si>
  <si>
    <t>Director</t>
  </si>
  <si>
    <t>Instructor</t>
  </si>
  <si>
    <t>Instructor de bazin</t>
  </si>
  <si>
    <t>Administrator</t>
  </si>
  <si>
    <t>Tehnician</t>
  </si>
  <si>
    <t>Contabil</t>
  </si>
  <si>
    <t>Asistent medical</t>
  </si>
  <si>
    <t>Menajera</t>
  </si>
  <si>
    <t>id_abonament</t>
  </si>
  <si>
    <t>Denumire</t>
  </si>
  <si>
    <t>Pret</t>
  </si>
  <si>
    <t>Clasic</t>
  </si>
  <si>
    <t>Econom</t>
  </si>
  <si>
    <t>Special</t>
  </si>
  <si>
    <t>Sport</t>
  </si>
  <si>
    <t>Top</t>
  </si>
  <si>
    <t>Lux</t>
  </si>
  <si>
    <t>Cod Tranzictie</t>
  </si>
  <si>
    <t>Cod Abonament</t>
  </si>
  <si>
    <t>Data Procurarii Abonamentului</t>
  </si>
  <si>
    <t>Data Expirarii Abonamentului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</si>
</sst>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yyyy\-mm\-dd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04"/>
    </font>
    <font>
      <sz val="10"/>
      <color indexed="8"/>
      <name val="Arial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3" fillId="2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right" wrapText="1"/>
    </xf>
    <xf numFmtId="0" fontId="3" fillId="0" borderId="2" xfId="2" applyFont="1" applyFill="1" applyBorder="1" applyAlignment="1">
      <alignment wrapText="1"/>
    </xf>
    <xf numFmtId="0" fontId="3" fillId="0" borderId="2" xfId="2" applyNumberFormat="1" applyFont="1" applyFill="1" applyBorder="1" applyAlignment="1">
      <alignment horizontal="right" wrapText="1"/>
    </xf>
    <xf numFmtId="0" fontId="5" fillId="0" borderId="0" xfId="3" applyAlignment="1">
      <alignment vertical="center"/>
    </xf>
    <xf numFmtId="14" fontId="0" fillId="0" borderId="0" xfId="0" applyNumberFormat="1"/>
    <xf numFmtId="179" fontId="1" fillId="0" borderId="2" xfId="1" applyNumberFormat="1" applyFont="1" applyFill="1" applyBorder="1" applyAlignment="1">
      <alignment horizontal="right" wrapText="1"/>
    </xf>
    <xf numFmtId="179" fontId="3" fillId="0" borderId="2" xfId="2" applyNumberFormat="1" applyFont="1" applyFill="1" applyBorder="1" applyAlignment="1">
      <alignment horizontal="right" wrapText="1"/>
    </xf>
  </cellXfs>
  <cellStyles count="4">
    <cellStyle name="Гиперссылка" xfId="3" builtinId="8"/>
    <cellStyle name="Обычный" xfId="0" builtinId="0"/>
    <cellStyle name="Обычный_Лист2" xfId="1"/>
    <cellStyle name="Обычный_Лист2_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77"/>
  <sheetViews>
    <sheetView tabSelected="1" topLeftCell="B49" workbookViewId="0">
      <selection activeCell="H58" sqref="H58:H77"/>
    </sheetView>
  </sheetViews>
  <sheetFormatPr defaultRowHeight="15" x14ac:dyDescent="0.25"/>
  <cols>
    <col min="5" max="5" width="10.42578125" bestFit="1" customWidth="1"/>
    <col min="6" max="6" width="28.85546875" bestFit="1" customWidth="1"/>
    <col min="22" max="22" width="10.140625" bestFit="1" customWidth="1"/>
  </cols>
  <sheetData>
    <row r="2" spans="2:2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22" ht="45" x14ac:dyDescent="0.25">
      <c r="B3" s="2">
        <v>1</v>
      </c>
      <c r="C3" s="2">
        <v>2</v>
      </c>
      <c r="D3" s="3" t="s">
        <v>8</v>
      </c>
      <c r="E3" s="3" t="s">
        <v>9</v>
      </c>
      <c r="F3" s="10">
        <v>43101</v>
      </c>
      <c r="G3" s="3" t="s">
        <v>10</v>
      </c>
      <c r="H3" s="3" t="s">
        <v>11</v>
      </c>
      <c r="I3" s="2">
        <v>9100</v>
      </c>
      <c r="M3" t="str">
        <f>"("&amp;B3&amp;","&amp;C3&amp;","&amp;"'"&amp;D3&amp;"',"&amp;"'"&amp;E3&amp;"',"&amp;"'"&amp;TEXT(F3,"yyyy-mm-dd")&amp;"',"&amp;"'"&amp;G3&amp;"',"&amp;"'"&amp;H3&amp;"',"&amp;I3&amp;")"</f>
        <v>(1,2,'Moscalciuc','Vitalie','2018-01-01','+(373) 61-471-512','Str. Victoriei 2',9100)</v>
      </c>
      <c r="V3" s="8"/>
    </row>
    <row r="4" spans="2:22" ht="45" x14ac:dyDescent="0.25">
      <c r="B4" s="2">
        <v>2</v>
      </c>
      <c r="C4" s="2">
        <v>3</v>
      </c>
      <c r="D4" s="3" t="s">
        <v>12</v>
      </c>
      <c r="E4" s="3" t="s">
        <v>13</v>
      </c>
      <c r="F4" s="10">
        <v>43111</v>
      </c>
      <c r="G4" s="3" t="s">
        <v>14</v>
      </c>
      <c r="H4" s="3" t="s">
        <v>15</v>
      </c>
      <c r="I4" s="2">
        <v>6200</v>
      </c>
      <c r="M4" t="str">
        <f t="shared" ref="M4:M19" si="0">"("&amp;B4&amp;","&amp;C4&amp;","&amp;"'"&amp;D4&amp;"',"&amp;"'"&amp;E4&amp;"',"&amp;"'"&amp;TEXT(F4,"yyyy-mm-dd")&amp;"',"&amp;"'"&amp;G4&amp;"',"&amp;"'"&amp;H4&amp;"',"&amp;I4&amp;")"</f>
        <v>(2,3,'Gumeniuc','Vlada','2018-01-11','+(373) 73-812-098','Str. Uzinelor 9',6200)</v>
      </c>
      <c r="V4" s="9"/>
    </row>
    <row r="5" spans="2:22" ht="60" x14ac:dyDescent="0.25">
      <c r="B5" s="2">
        <v>3</v>
      </c>
      <c r="C5" s="2">
        <v>3</v>
      </c>
      <c r="D5" s="3" t="s">
        <v>16</v>
      </c>
      <c r="E5" s="3" t="s">
        <v>17</v>
      </c>
      <c r="F5" s="10">
        <v>43115</v>
      </c>
      <c r="G5" s="3" t="s">
        <v>18</v>
      </c>
      <c r="H5" s="3" t="s">
        <v>19</v>
      </c>
      <c r="I5" s="2">
        <v>6200</v>
      </c>
      <c r="M5" t="str">
        <f t="shared" si="0"/>
        <v>(3,3,'Gaivas','Loredana','2018-01-15','+(373) 26-363-541','Str. Stefan cel Mare 37/2',6200)</v>
      </c>
    </row>
    <row r="6" spans="2:22" ht="45" x14ac:dyDescent="0.25">
      <c r="B6" s="2">
        <v>4</v>
      </c>
      <c r="C6" s="2">
        <v>5</v>
      </c>
      <c r="D6" s="3" t="s">
        <v>20</v>
      </c>
      <c r="E6" s="3" t="s">
        <v>21</v>
      </c>
      <c r="F6" s="10">
        <v>43115</v>
      </c>
      <c r="G6" s="3" t="s">
        <v>22</v>
      </c>
      <c r="H6" s="3" t="s">
        <v>23</v>
      </c>
      <c r="I6" s="2">
        <v>6200</v>
      </c>
      <c r="M6" t="str">
        <f>"("&amp;B6&amp;","&amp;C6&amp;","&amp;"'"&amp;D6&amp;"',"&amp;"'"&amp;E6&amp;"',"&amp;"'"&amp;TEXT(F6,"yyyy-mm-dd")&amp;"',"&amp;"'"&amp;G6&amp;"',"&amp;"'"&amp;H6&amp;"',"&amp;I6&amp;")"</f>
        <v>(4,5,'Gorcenco','Daniel','2018-01-15','+(373) 36-365-881','Str. Albisoara 11',6200)</v>
      </c>
    </row>
    <row r="7" spans="2:22" ht="60" x14ac:dyDescent="0.25">
      <c r="B7" s="2">
        <v>5</v>
      </c>
      <c r="C7" s="2">
        <v>4</v>
      </c>
      <c r="D7" s="3" t="s">
        <v>24</v>
      </c>
      <c r="E7" s="3" t="s">
        <v>25</v>
      </c>
      <c r="F7" s="10">
        <v>43241</v>
      </c>
      <c r="G7" s="3" t="s">
        <v>26</v>
      </c>
      <c r="H7" s="3" t="s">
        <v>27</v>
      </c>
      <c r="I7" s="2">
        <v>6200</v>
      </c>
      <c r="M7" t="str">
        <f t="shared" si="0"/>
        <v>(5,4,'Caras','Stanislav','2018-05-21','+(373) 81-896-461','Str. Constantin Tanase',6200)</v>
      </c>
    </row>
    <row r="8" spans="2:22" ht="45" x14ac:dyDescent="0.25">
      <c r="B8" s="2">
        <v>6</v>
      </c>
      <c r="C8" s="2">
        <v>9</v>
      </c>
      <c r="D8" s="3" t="s">
        <v>28</v>
      </c>
      <c r="E8" s="3" t="s">
        <v>29</v>
      </c>
      <c r="F8" s="10">
        <v>43727</v>
      </c>
      <c r="G8" s="3" t="s">
        <v>30</v>
      </c>
      <c r="H8" s="3" t="s">
        <v>31</v>
      </c>
      <c r="I8" s="2">
        <v>5800</v>
      </c>
      <c r="M8" t="str">
        <f t="shared" si="0"/>
        <v>(6,9,'Soimu','Victoria','2019-09-19','+(373) 17-631-248','Str. Corlatenilor 17',5800)</v>
      </c>
    </row>
    <row r="9" spans="2:22" ht="45" x14ac:dyDescent="0.25">
      <c r="B9" s="2">
        <v>7</v>
      </c>
      <c r="C9" s="2">
        <v>6</v>
      </c>
      <c r="D9" s="3" t="s">
        <v>32</v>
      </c>
      <c r="E9" s="3" t="s">
        <v>33</v>
      </c>
      <c r="F9" s="10">
        <v>43111</v>
      </c>
      <c r="G9" s="3" t="s">
        <v>34</v>
      </c>
      <c r="H9" s="3" t="s">
        <v>35</v>
      </c>
      <c r="I9" s="2">
        <v>5800</v>
      </c>
      <c r="M9" t="str">
        <f t="shared" si="0"/>
        <v>(7,6,'Erhan','Sergiu','2018-01-11','+(373) 67-182-948','Str. Gradinilor 93',5800)</v>
      </c>
    </row>
    <row r="10" spans="2:22" ht="45" x14ac:dyDescent="0.25">
      <c r="B10" s="2">
        <v>8</v>
      </c>
      <c r="C10" s="2">
        <v>7</v>
      </c>
      <c r="D10" s="3" t="s">
        <v>36</v>
      </c>
      <c r="E10" s="3" t="s">
        <v>37</v>
      </c>
      <c r="F10" s="10">
        <v>43554</v>
      </c>
      <c r="G10" s="3" t="s">
        <v>38</v>
      </c>
      <c r="H10" s="3" t="s">
        <v>39</v>
      </c>
      <c r="I10" s="2">
        <v>6500</v>
      </c>
      <c r="M10" t="str">
        <f t="shared" si="0"/>
        <v>(8,7,'Dorosenco','Maria','2019-03-30','+(373) 26-325-419','Str. Petru Maior 33',6500)</v>
      </c>
    </row>
    <row r="11" spans="2:22" ht="60" x14ac:dyDescent="0.25">
      <c r="B11" s="2">
        <v>9</v>
      </c>
      <c r="C11" s="2">
        <v>5</v>
      </c>
      <c r="D11" s="3" t="s">
        <v>40</v>
      </c>
      <c r="E11" s="3" t="s">
        <v>41</v>
      </c>
      <c r="F11" s="10">
        <v>43600</v>
      </c>
      <c r="G11" s="3" t="s">
        <v>42</v>
      </c>
      <c r="H11" s="3" t="s">
        <v>43</v>
      </c>
      <c r="I11" s="2">
        <v>6500</v>
      </c>
      <c r="M11" t="str">
        <f t="shared" si="0"/>
        <v>(9,5,'Buciuceanu','Mihail','2019-05-15','+(373) 72-987-438','Str. Mihai Eminescu 6/1',6500)</v>
      </c>
    </row>
    <row r="12" spans="2:22" ht="60" x14ac:dyDescent="0.25">
      <c r="B12" s="2">
        <v>10</v>
      </c>
      <c r="C12" s="2">
        <v>4</v>
      </c>
      <c r="D12" s="3" t="s">
        <v>44</v>
      </c>
      <c r="E12" s="3" t="s">
        <v>45</v>
      </c>
      <c r="F12" s="10">
        <v>43111</v>
      </c>
      <c r="G12" s="3" t="s">
        <v>46</v>
      </c>
      <c r="H12" s="3" t="s">
        <v>47</v>
      </c>
      <c r="I12" s="2">
        <v>7000</v>
      </c>
      <c r="M12" t="str">
        <f t="shared" si="0"/>
        <v>(10,4,'Lazar','Stela','2018-01-11','+(373) 73-828-477','Str. Mihail Sadoveanu 33',7000)</v>
      </c>
    </row>
    <row r="13" spans="2:22" ht="45" x14ac:dyDescent="0.25">
      <c r="B13" s="2">
        <v>11</v>
      </c>
      <c r="C13" s="2">
        <v>7</v>
      </c>
      <c r="D13" s="3" t="s">
        <v>48</v>
      </c>
      <c r="E13" s="3" t="s">
        <v>49</v>
      </c>
      <c r="F13" s="10">
        <v>43686</v>
      </c>
      <c r="G13" s="3" t="s">
        <v>50</v>
      </c>
      <c r="H13" s="3" t="s">
        <v>51</v>
      </c>
      <c r="I13" s="2">
        <v>7000</v>
      </c>
      <c r="M13" t="str">
        <f t="shared" si="0"/>
        <v>(11,7,'Matiescu','Daniela','2019-08-09','+(373) 77-773-871','Str. Tighina 104/2',7000)</v>
      </c>
    </row>
    <row r="14" spans="2:22" ht="45" x14ac:dyDescent="0.25">
      <c r="B14" s="2">
        <v>12</v>
      </c>
      <c r="C14" s="2">
        <v>6</v>
      </c>
      <c r="D14" s="3" t="s">
        <v>52</v>
      </c>
      <c r="E14" s="3" t="s">
        <v>53</v>
      </c>
      <c r="F14" s="10">
        <v>43151</v>
      </c>
      <c r="G14" s="3" t="s">
        <v>54</v>
      </c>
      <c r="H14" s="3" t="s">
        <v>55</v>
      </c>
      <c r="I14" s="2">
        <v>5000</v>
      </c>
      <c r="M14" t="str">
        <f t="shared" si="0"/>
        <v>(12,6,'Calaras','Maxim','2018-02-20','+(373) 37-363-287','Str. Eugen Doga 34',5000)</v>
      </c>
    </row>
    <row r="15" spans="2:22" ht="45" x14ac:dyDescent="0.25">
      <c r="B15" s="2">
        <v>13</v>
      </c>
      <c r="C15" s="2">
        <v>8</v>
      </c>
      <c r="D15" s="3" t="s">
        <v>48</v>
      </c>
      <c r="E15" s="3" t="s">
        <v>56</v>
      </c>
      <c r="F15" s="10">
        <v>43111</v>
      </c>
      <c r="G15" s="3" t="s">
        <v>57</v>
      </c>
      <c r="H15" s="3" t="s">
        <v>58</v>
      </c>
      <c r="I15" s="2">
        <v>6500</v>
      </c>
      <c r="M15" t="str">
        <f t="shared" si="0"/>
        <v>(13,8,'Matiescu','Elena','2018-01-11','+(373) 90-180-937','Str. Miron Costin 11',6500)</v>
      </c>
    </row>
    <row r="16" spans="2:22" ht="45" x14ac:dyDescent="0.25">
      <c r="B16" s="2">
        <v>14</v>
      </c>
      <c r="C16" s="2">
        <v>8</v>
      </c>
      <c r="D16" s="3" t="s">
        <v>59</v>
      </c>
      <c r="E16" s="3" t="s">
        <v>60</v>
      </c>
      <c r="F16" s="10">
        <v>43147</v>
      </c>
      <c r="G16" s="3" t="s">
        <v>61</v>
      </c>
      <c r="H16" s="3" t="s">
        <v>62</v>
      </c>
      <c r="I16" s="2">
        <v>6450</v>
      </c>
      <c r="M16" t="str">
        <f t="shared" si="0"/>
        <v>(14,8,'Spinu','Andreea','2018-02-16','+(373) 01-874-918','Str. Decebal 10',6450)</v>
      </c>
    </row>
    <row r="17" spans="2:21" ht="45" x14ac:dyDescent="0.25">
      <c r="B17" s="2">
        <v>15</v>
      </c>
      <c r="C17" s="2">
        <v>9</v>
      </c>
      <c r="D17" s="3" t="s">
        <v>63</v>
      </c>
      <c r="E17" s="3" t="s">
        <v>64</v>
      </c>
      <c r="F17" s="10">
        <v>44163</v>
      </c>
      <c r="G17" s="3" t="s">
        <v>65</v>
      </c>
      <c r="H17" s="3" t="s">
        <v>66</v>
      </c>
      <c r="I17" s="2">
        <v>4150</v>
      </c>
      <c r="M17" t="str">
        <f t="shared" si="0"/>
        <v>(15,9,'Lai','Ecaterina','2020-11-28','+(373) 83-873-621','Str. Decebal 164/4',4150)</v>
      </c>
    </row>
    <row r="18" spans="2:21" ht="45" x14ac:dyDescent="0.25">
      <c r="B18" s="2">
        <v>16</v>
      </c>
      <c r="C18" s="2">
        <v>3</v>
      </c>
      <c r="D18" s="3" t="s">
        <v>67</v>
      </c>
      <c r="E18" s="3" t="s">
        <v>68</v>
      </c>
      <c r="F18" s="10">
        <v>43845</v>
      </c>
      <c r="G18" s="3" t="s">
        <v>69</v>
      </c>
      <c r="H18" s="3" t="s">
        <v>70</v>
      </c>
      <c r="I18" s="2">
        <v>4500</v>
      </c>
      <c r="M18" t="str">
        <f t="shared" si="0"/>
        <v>(16,3,'Tarabuta','Catalin','2020-01-15','+(373) 87-389-618','Str. Vadul Bircului',4500)</v>
      </c>
    </row>
    <row r="19" spans="2:21" ht="45" x14ac:dyDescent="0.25">
      <c r="B19" s="2">
        <v>17</v>
      </c>
      <c r="C19" s="2">
        <v>9</v>
      </c>
      <c r="D19" s="3" t="s">
        <v>71</v>
      </c>
      <c r="E19" s="3" t="s">
        <v>17</v>
      </c>
      <c r="F19" s="10">
        <v>43931</v>
      </c>
      <c r="G19" s="3" t="s">
        <v>72</v>
      </c>
      <c r="H19" s="3" t="s">
        <v>73</v>
      </c>
      <c r="I19" s="2">
        <v>4500</v>
      </c>
      <c r="M19" t="str">
        <f t="shared" si="0"/>
        <v>(17,9,'Rusu','Loredana','2020-04-10','+(373) 12-194-715','Str. Cahulului 77/2',4500)</v>
      </c>
    </row>
    <row r="23" spans="2:21" x14ac:dyDescent="0.25">
      <c r="B23" s="4" t="s">
        <v>74</v>
      </c>
      <c r="C23" s="4" t="s">
        <v>75</v>
      </c>
      <c r="D23" s="4" t="s">
        <v>76</v>
      </c>
      <c r="E23" s="4" t="s">
        <v>77</v>
      </c>
      <c r="F23" s="4" t="s">
        <v>78</v>
      </c>
    </row>
    <row r="24" spans="2:21" ht="30" x14ac:dyDescent="0.25">
      <c r="B24" s="5">
        <v>1</v>
      </c>
      <c r="C24" s="6" t="s">
        <v>79</v>
      </c>
      <c r="D24" s="6" t="s">
        <v>80</v>
      </c>
      <c r="E24" s="6" t="s">
        <v>81</v>
      </c>
      <c r="F24" s="6" t="s">
        <v>82</v>
      </c>
      <c r="H24" t="str">
        <f>"("&amp;B24&amp;","&amp;"'"&amp;C24&amp;"',"&amp;"'"&amp;D24&amp;"',"&amp;"'"&amp;E24&amp;"','"&amp;F24&amp;"')"</f>
        <v>(1,'Aldosari','Evelina','+(373) 37-637-676','Str. Vadul Bicului 29')</v>
      </c>
      <c r="R24" s="4" t="s">
        <v>1</v>
      </c>
      <c r="S24" s="4" t="s">
        <v>153</v>
      </c>
    </row>
    <row r="25" spans="2:21" ht="30" x14ac:dyDescent="0.25">
      <c r="B25" s="5">
        <v>2</v>
      </c>
      <c r="C25" s="6" t="s">
        <v>83</v>
      </c>
      <c r="D25" s="6" t="s">
        <v>84</v>
      </c>
      <c r="E25" s="6" t="s">
        <v>85</v>
      </c>
      <c r="F25" s="6" t="s">
        <v>86</v>
      </c>
      <c r="H25" t="str">
        <f t="shared" ref="H25:H43" si="1">"("&amp;B25&amp;","&amp;"'"&amp;C25&amp;"',"&amp;"'"&amp;D25&amp;"',"&amp;"'"&amp;E25&amp;"','"&amp;F25&amp;"')"</f>
        <v>(2,'Arabadji','Antonina','+(373) 56-576-472','Str. Aeroportului 13')</v>
      </c>
      <c r="R25" s="5">
        <v>2</v>
      </c>
      <c r="S25" s="6" t="s">
        <v>154</v>
      </c>
      <c r="U25" t="str">
        <f>"("&amp;R25&amp;",'"&amp;S25&amp;"')"</f>
        <v>(2,'Director')</v>
      </c>
    </row>
    <row r="26" spans="2:21" ht="30" x14ac:dyDescent="0.25">
      <c r="B26" s="5">
        <v>3</v>
      </c>
      <c r="C26" s="6" t="s">
        <v>87</v>
      </c>
      <c r="D26" s="6" t="s">
        <v>88</v>
      </c>
      <c r="E26" s="6" t="s">
        <v>89</v>
      </c>
      <c r="F26" s="6" t="s">
        <v>90</v>
      </c>
      <c r="H26" t="str">
        <f t="shared" si="1"/>
        <v>(3,'Barbacari','Otilia','+(373) 36-362-322','Str. Bulgara 199')</v>
      </c>
      <c r="R26" s="5">
        <v>3</v>
      </c>
      <c r="S26" s="6" t="s">
        <v>155</v>
      </c>
      <c r="U26" t="str">
        <f t="shared" ref="U26:U32" si="2">"("&amp;R26&amp;",'"&amp;S26&amp;"')"</f>
        <v>(3,'Instructor')</v>
      </c>
    </row>
    <row r="27" spans="2:21" ht="45" x14ac:dyDescent="0.25">
      <c r="B27" s="5">
        <v>4</v>
      </c>
      <c r="C27" s="6" t="s">
        <v>91</v>
      </c>
      <c r="D27" s="6" t="s">
        <v>92</v>
      </c>
      <c r="E27" s="6" t="s">
        <v>93</v>
      </c>
      <c r="F27" s="6" t="s">
        <v>94</v>
      </c>
      <c r="H27" t="str">
        <f t="shared" si="1"/>
        <v>(4,'Bujor','Doina','+(373) 46-487-867','Str. Eugen Doga 5')</v>
      </c>
      <c r="R27" s="5">
        <v>4</v>
      </c>
      <c r="S27" s="6" t="s">
        <v>156</v>
      </c>
      <c r="U27" t="str">
        <f t="shared" si="2"/>
        <v>(4,'Instructor de bazin')</v>
      </c>
    </row>
    <row r="28" spans="2:21" ht="30" x14ac:dyDescent="0.25">
      <c r="B28" s="5">
        <v>5</v>
      </c>
      <c r="C28" s="6" t="s">
        <v>95</v>
      </c>
      <c r="D28" s="6" t="s">
        <v>96</v>
      </c>
      <c r="E28" s="6" t="s">
        <v>97</v>
      </c>
      <c r="F28" s="6" t="s">
        <v>98</v>
      </c>
      <c r="H28" t="str">
        <f t="shared" si="1"/>
        <v>(5,'Bulhac','Ion','+(373) 67-356-254','Str. Miron Costin 55')</v>
      </c>
      <c r="R28" s="5">
        <v>5</v>
      </c>
      <c r="S28" s="6" t="s">
        <v>157</v>
      </c>
      <c r="U28" t="str">
        <f t="shared" si="2"/>
        <v>(5,'Administrator')</v>
      </c>
    </row>
    <row r="29" spans="2:21" ht="30" x14ac:dyDescent="0.25">
      <c r="B29" s="5">
        <v>6</v>
      </c>
      <c r="C29" s="6" t="s">
        <v>99</v>
      </c>
      <c r="D29" s="6" t="s">
        <v>100</v>
      </c>
      <c r="E29" s="6" t="s">
        <v>101</v>
      </c>
      <c r="F29" s="6" t="s">
        <v>102</v>
      </c>
      <c r="H29" t="str">
        <f t="shared" si="1"/>
        <v>(6,'Calistru','Alexandr','+(373) 26-758-579','Str. Constantin Negruzzi 55')</v>
      </c>
      <c r="R29" s="5">
        <v>6</v>
      </c>
      <c r="S29" s="6" t="s">
        <v>158</v>
      </c>
      <c r="U29" t="str">
        <f t="shared" si="2"/>
        <v>(6,'Tehnician')</v>
      </c>
    </row>
    <row r="30" spans="2:21" ht="30" x14ac:dyDescent="0.25">
      <c r="B30" s="5">
        <v>7</v>
      </c>
      <c r="C30" s="6" t="s">
        <v>103</v>
      </c>
      <c r="D30" s="6" t="s">
        <v>88</v>
      </c>
      <c r="E30" s="6" t="s">
        <v>104</v>
      </c>
      <c r="F30" s="6" t="s">
        <v>105</v>
      </c>
      <c r="H30" t="str">
        <f t="shared" si="1"/>
        <v>(7,'Cojocaru','Otilia','+(373) 45-678-766','Str. Florilor 21')</v>
      </c>
      <c r="R30" s="5">
        <v>7</v>
      </c>
      <c r="S30" s="6" t="s">
        <v>159</v>
      </c>
      <c r="U30" t="str">
        <f t="shared" si="2"/>
        <v>(7,'Contabil')</v>
      </c>
    </row>
    <row r="31" spans="2:21" ht="30" x14ac:dyDescent="0.25">
      <c r="B31" s="5">
        <v>8</v>
      </c>
      <c r="C31" s="6" t="s">
        <v>106</v>
      </c>
      <c r="D31" s="6" t="s">
        <v>45</v>
      </c>
      <c r="E31" s="6" t="s">
        <v>107</v>
      </c>
      <c r="F31" s="6" t="s">
        <v>108</v>
      </c>
      <c r="H31" t="str">
        <f t="shared" si="1"/>
        <v>(8,'Covali','Stela','+(373) 45-789-677','Str. Decebal 194')</v>
      </c>
      <c r="R31" s="5">
        <v>8</v>
      </c>
      <c r="S31" s="6" t="s">
        <v>160</v>
      </c>
      <c r="U31" t="str">
        <f t="shared" si="2"/>
        <v>(8,'Asistent medical')</v>
      </c>
    </row>
    <row r="32" spans="2:21" ht="30" x14ac:dyDescent="0.25">
      <c r="B32" s="5">
        <v>9</v>
      </c>
      <c r="C32" s="6" t="s">
        <v>109</v>
      </c>
      <c r="D32" s="6" t="s">
        <v>110</v>
      </c>
      <c r="E32" s="6" t="s">
        <v>111</v>
      </c>
      <c r="F32" s="6" t="s">
        <v>112</v>
      </c>
      <c r="H32" t="str">
        <f t="shared" si="1"/>
        <v>(9,'Cungurov','Vlad','+(373) 47-556-762','Str. Tighina 100')</v>
      </c>
      <c r="R32" s="5">
        <v>9</v>
      </c>
      <c r="S32" s="6" t="s">
        <v>161</v>
      </c>
      <c r="U32" t="str">
        <f t="shared" si="2"/>
        <v>(9,'Menajera')</v>
      </c>
    </row>
    <row r="33" spans="2:8" ht="30" x14ac:dyDescent="0.25">
      <c r="B33" s="5">
        <v>10</v>
      </c>
      <c r="C33" s="6" t="s">
        <v>113</v>
      </c>
      <c r="D33" s="6" t="s">
        <v>114</v>
      </c>
      <c r="E33" s="6" t="s">
        <v>115</v>
      </c>
      <c r="F33" s="6" t="s">
        <v>116</v>
      </c>
      <c r="H33" t="str">
        <f t="shared" si="1"/>
        <v>(10,'Darii','Cristina','+(373) 75-658-672','Str. Stefan cel Mare 29')</v>
      </c>
    </row>
    <row r="34" spans="2:8" ht="30" x14ac:dyDescent="0.25">
      <c r="B34" s="5">
        <v>11</v>
      </c>
      <c r="C34" s="6" t="s">
        <v>117</v>
      </c>
      <c r="D34" s="6" t="s">
        <v>29</v>
      </c>
      <c r="E34" s="6" t="s">
        <v>118</v>
      </c>
      <c r="F34" s="6" t="s">
        <v>119</v>
      </c>
      <c r="H34" t="str">
        <f t="shared" si="1"/>
        <v>(11,'Esanu','Victoria','+(373) 78-798-733','Str. Eugen Doga 92')</v>
      </c>
    </row>
    <row r="35" spans="2:8" ht="45" x14ac:dyDescent="0.25">
      <c r="B35" s="5">
        <v>12</v>
      </c>
      <c r="C35" s="6" t="s">
        <v>120</v>
      </c>
      <c r="D35" s="6" t="s">
        <v>121</v>
      </c>
      <c r="E35" s="6" t="s">
        <v>122</v>
      </c>
      <c r="F35" s="6" t="s">
        <v>123</v>
      </c>
      <c r="H35" t="str">
        <f t="shared" si="1"/>
        <v>(12,'Gangan','Anastasia','+(373) 76-934-634','Str. Uzinelor 11')</v>
      </c>
    </row>
    <row r="36" spans="2:8" ht="45" x14ac:dyDescent="0.25">
      <c r="B36" s="5">
        <v>13</v>
      </c>
      <c r="C36" s="6" t="s">
        <v>124</v>
      </c>
      <c r="D36" s="6" t="s">
        <v>125</v>
      </c>
      <c r="E36" s="6" t="s">
        <v>126</v>
      </c>
      <c r="F36" s="6" t="s">
        <v>127</v>
      </c>
      <c r="H36" t="str">
        <f t="shared" si="1"/>
        <v>(13,'Gargaun','Iulian-Pavel','+(373) 65-865-227','Str. Albisoara 19')</v>
      </c>
    </row>
    <row r="37" spans="2:8" ht="45" x14ac:dyDescent="0.25">
      <c r="B37" s="5">
        <v>14</v>
      </c>
      <c r="C37" s="6" t="s">
        <v>128</v>
      </c>
      <c r="D37" s="6" t="s">
        <v>129</v>
      </c>
      <c r="E37" s="6" t="s">
        <v>130</v>
      </c>
      <c r="F37" s="6" t="s">
        <v>131</v>
      </c>
      <c r="H37" t="str">
        <f t="shared" si="1"/>
        <v>(14,'','Cristian','+(373) 27-552-254','Str. Mitskevici 22')</v>
      </c>
    </row>
    <row r="38" spans="2:8" ht="30" x14ac:dyDescent="0.25">
      <c r="B38" s="5">
        <v>15</v>
      </c>
      <c r="C38" s="6" t="s">
        <v>132</v>
      </c>
      <c r="D38" s="6" t="s">
        <v>53</v>
      </c>
      <c r="E38" s="6" t="s">
        <v>133</v>
      </c>
      <c r="F38" s="6" t="s">
        <v>134</v>
      </c>
      <c r="H38" t="str">
        <f t="shared" si="1"/>
        <v>(15,'Gorbulea','Maxim','+(373) 44-541-984','Str. Florilor 1')</v>
      </c>
    </row>
    <row r="39" spans="2:8" ht="30" x14ac:dyDescent="0.25">
      <c r="B39" s="5">
        <v>16</v>
      </c>
      <c r="C39" s="6" t="s">
        <v>135</v>
      </c>
      <c r="D39" s="6" t="s">
        <v>49</v>
      </c>
      <c r="E39" s="6" t="s">
        <v>136</v>
      </c>
      <c r="F39" s="6" t="s">
        <v>137</v>
      </c>
      <c r="H39" t="str">
        <f t="shared" si="1"/>
        <v>(16,'Gradinari','Daniela','+(373) 15-964-615','Str. Miron Costin 56')</v>
      </c>
    </row>
    <row r="40" spans="2:8" ht="45" x14ac:dyDescent="0.25">
      <c r="B40" s="5">
        <v>17</v>
      </c>
      <c r="C40" s="6" t="s">
        <v>138</v>
      </c>
      <c r="D40" s="6" t="s">
        <v>139</v>
      </c>
      <c r="E40" s="6" t="s">
        <v>140</v>
      </c>
      <c r="F40" s="6" t="s">
        <v>141</v>
      </c>
      <c r="H40" t="str">
        <f t="shared" si="1"/>
        <v>(17,'Grosu','Alexandrina','+(373) 51-659-645','Str. Mihai Eminescu 29')</v>
      </c>
    </row>
    <row r="41" spans="2:8" ht="30" x14ac:dyDescent="0.25">
      <c r="B41" s="5">
        <v>18</v>
      </c>
      <c r="C41" s="6" t="s">
        <v>142</v>
      </c>
      <c r="D41" s="6" t="s">
        <v>143</v>
      </c>
      <c r="E41" s="6" t="s">
        <v>144</v>
      </c>
      <c r="F41" s="6" t="s">
        <v>145</v>
      </c>
      <c r="H41" t="str">
        <f t="shared" si="1"/>
        <v>(18,'Hargel','Gabriela','+(373) 65-487-496','Str.Corlatenilor 63')</v>
      </c>
    </row>
    <row r="42" spans="2:8" ht="45" x14ac:dyDescent="0.25">
      <c r="B42" s="5">
        <v>19</v>
      </c>
      <c r="C42" s="6" t="s">
        <v>146</v>
      </c>
      <c r="D42" s="6" t="s">
        <v>114</v>
      </c>
      <c r="E42" s="6" t="s">
        <v>147</v>
      </c>
      <c r="F42" s="6" t="s">
        <v>148</v>
      </c>
      <c r="H42" t="str">
        <f t="shared" si="1"/>
        <v>(19,'Liceaghina','Cristina','+(373) 65-496-498','Str. Cojeduba 22')</v>
      </c>
    </row>
    <row r="43" spans="2:8" ht="45" x14ac:dyDescent="0.25">
      <c r="B43" s="5">
        <v>20</v>
      </c>
      <c r="C43" s="6" t="s">
        <v>149</v>
      </c>
      <c r="D43" s="6" t="s">
        <v>150</v>
      </c>
      <c r="E43" s="6" t="s">
        <v>151</v>
      </c>
      <c r="F43" s="6" t="s">
        <v>152</v>
      </c>
      <c r="H43" t="str">
        <f t="shared" si="1"/>
        <v>(20,'Marcu','Sandu','+(373) 65-487-498','Str. Vadul lui Voda 25')</v>
      </c>
    </row>
    <row r="46" spans="2:8" x14ac:dyDescent="0.25">
      <c r="B46" s="4" t="s">
        <v>162</v>
      </c>
      <c r="C46" s="4" t="s">
        <v>163</v>
      </c>
      <c r="D46" s="4" t="s">
        <v>164</v>
      </c>
    </row>
    <row r="47" spans="2:8" x14ac:dyDescent="0.25">
      <c r="B47" s="5">
        <v>1</v>
      </c>
      <c r="C47" s="6" t="s">
        <v>165</v>
      </c>
      <c r="D47" s="7">
        <v>450</v>
      </c>
      <c r="F47" t="str">
        <f>"("&amp;B47&amp;","&amp;"'"&amp;C47&amp;"',"&amp;""&amp;D47&amp;")"</f>
        <v>(1,'Clasic',450)</v>
      </c>
    </row>
    <row r="48" spans="2:8" x14ac:dyDescent="0.25">
      <c r="B48" s="5">
        <v>2</v>
      </c>
      <c r="C48" s="6" t="s">
        <v>166</v>
      </c>
      <c r="D48" s="7">
        <v>700</v>
      </c>
      <c r="F48" t="str">
        <f t="shared" ref="F48:F52" si="3">"("&amp;B48&amp;","&amp;"'"&amp;C48&amp;"',"&amp;""&amp;D48&amp;")"</f>
        <v>(2,'Econom',700)</v>
      </c>
    </row>
    <row r="49" spans="2:8" x14ac:dyDescent="0.25">
      <c r="B49" s="5">
        <v>3</v>
      </c>
      <c r="C49" s="6" t="s">
        <v>167</v>
      </c>
      <c r="D49" s="7">
        <v>900</v>
      </c>
      <c r="F49" t="str">
        <f t="shared" si="3"/>
        <v>(3,'Special',900)</v>
      </c>
    </row>
    <row r="50" spans="2:8" x14ac:dyDescent="0.25">
      <c r="B50" s="5">
        <v>4</v>
      </c>
      <c r="C50" s="6" t="s">
        <v>168</v>
      </c>
      <c r="D50" s="7">
        <v>1500</v>
      </c>
      <c r="F50" t="str">
        <f t="shared" si="3"/>
        <v>(4,'Sport',1500)</v>
      </c>
    </row>
    <row r="51" spans="2:8" x14ac:dyDescent="0.25">
      <c r="B51" s="5">
        <v>5</v>
      </c>
      <c r="C51" s="6" t="s">
        <v>169</v>
      </c>
      <c r="D51" s="7">
        <v>1850</v>
      </c>
      <c r="F51" t="str">
        <f t="shared" si="3"/>
        <v>(5,'Top',1850)</v>
      </c>
    </row>
    <row r="52" spans="2:8" x14ac:dyDescent="0.25">
      <c r="B52" s="5">
        <v>6</v>
      </c>
      <c r="C52" s="6" t="s">
        <v>170</v>
      </c>
      <c r="D52" s="7">
        <v>500</v>
      </c>
      <c r="F52" t="str">
        <f t="shared" si="3"/>
        <v>(6,'Lux',500)</v>
      </c>
    </row>
    <row r="57" spans="2:8" x14ac:dyDescent="0.25">
      <c r="B57" s="4" t="s">
        <v>171</v>
      </c>
      <c r="C57" s="4" t="s">
        <v>74</v>
      </c>
      <c r="D57" s="4" t="s">
        <v>172</v>
      </c>
      <c r="E57" s="4" t="s">
        <v>173</v>
      </c>
      <c r="F57" s="4" t="s">
        <v>174</v>
      </c>
    </row>
    <row r="58" spans="2:8" x14ac:dyDescent="0.25">
      <c r="B58" s="5">
        <v>1</v>
      </c>
      <c r="C58" s="5">
        <v>1</v>
      </c>
      <c r="D58" s="5">
        <v>1</v>
      </c>
      <c r="E58" s="11">
        <v>44524</v>
      </c>
      <c r="F58" s="11">
        <v>44554</v>
      </c>
      <c r="H58" t="str">
        <f>"("&amp;B58&amp;","&amp;C58&amp;","&amp;D58&amp;","&amp;"'"&amp;TEXT(E58,"yyyy-mm-dd")&amp;"',"&amp;"'"&amp;TEXT(F58,"yyyy-mm-dd")&amp;"')"</f>
        <v>(1,1,1,'2021-11-24','2021-12-24')</v>
      </c>
    </row>
    <row r="59" spans="2:8" x14ac:dyDescent="0.25">
      <c r="B59" s="5">
        <v>2</v>
      </c>
      <c r="C59" s="5">
        <v>2</v>
      </c>
      <c r="D59" s="5">
        <v>6</v>
      </c>
      <c r="E59" s="11">
        <v>43365</v>
      </c>
      <c r="F59" s="11">
        <v>44515</v>
      </c>
      <c r="H59" t="str">
        <f t="shared" ref="H59:H77" si="4">"("&amp;B59&amp;","&amp;C59&amp;","&amp;D59&amp;","&amp;"'"&amp;TEXT(E59,"yyyy-mm-dd")&amp;"',"&amp;"'"&amp;TEXT(F59,"yyyy-mm-dd")&amp;"')"</f>
        <v>(2,2,6,'2018-09-22','2021-11-15')</v>
      </c>
    </row>
    <row r="60" spans="2:8" x14ac:dyDescent="0.25">
      <c r="B60" s="5">
        <v>3</v>
      </c>
      <c r="C60" s="5">
        <v>3</v>
      </c>
      <c r="D60" s="5">
        <v>2</v>
      </c>
      <c r="E60" s="11">
        <v>43178</v>
      </c>
      <c r="F60" s="11">
        <v>43238</v>
      </c>
      <c r="H60" t="str">
        <f t="shared" si="4"/>
        <v>(3,3,2,'2018-03-19','2018-05-18')</v>
      </c>
    </row>
    <row r="61" spans="2:8" x14ac:dyDescent="0.25">
      <c r="B61" s="5">
        <v>4</v>
      </c>
      <c r="C61" s="5">
        <v>4</v>
      </c>
      <c r="D61" s="5">
        <v>2</v>
      </c>
      <c r="E61" s="11">
        <v>43507</v>
      </c>
      <c r="F61" s="11">
        <v>43567</v>
      </c>
      <c r="H61" t="str">
        <f t="shared" si="4"/>
        <v>(4,4,2,'2019-02-11','2019-04-12')</v>
      </c>
    </row>
    <row r="62" spans="2:8" x14ac:dyDescent="0.25">
      <c r="B62" s="5">
        <v>5</v>
      </c>
      <c r="C62" s="5">
        <v>5</v>
      </c>
      <c r="D62" s="5">
        <v>5</v>
      </c>
      <c r="E62" s="11">
        <v>44148</v>
      </c>
      <c r="F62" s="11">
        <v>44513</v>
      </c>
      <c r="H62" t="str">
        <f t="shared" si="4"/>
        <v>(5,5,5,'2020-11-13','2021-11-13')</v>
      </c>
    </row>
    <row r="63" spans="2:8" x14ac:dyDescent="0.25">
      <c r="B63" s="5">
        <v>6</v>
      </c>
      <c r="C63" s="5">
        <v>6</v>
      </c>
      <c r="D63" s="5">
        <v>1</v>
      </c>
      <c r="E63" s="11">
        <v>44284</v>
      </c>
      <c r="F63" s="11">
        <v>44314</v>
      </c>
      <c r="H63" t="str">
        <f t="shared" si="4"/>
        <v>(6,6,1,'2021-03-29','2021-04-28')</v>
      </c>
    </row>
    <row r="64" spans="2:8" x14ac:dyDescent="0.25">
      <c r="B64" s="5">
        <v>7</v>
      </c>
      <c r="C64" s="5">
        <v>7</v>
      </c>
      <c r="D64" s="5">
        <v>2</v>
      </c>
      <c r="E64" s="11">
        <v>43141</v>
      </c>
      <c r="F64" s="11">
        <v>43201</v>
      </c>
      <c r="H64" t="str">
        <f t="shared" si="4"/>
        <v>(7,7,2,'2018-02-10','2018-04-11')</v>
      </c>
    </row>
    <row r="65" spans="2:8" x14ac:dyDescent="0.25">
      <c r="B65" s="5">
        <v>8</v>
      </c>
      <c r="C65" s="5">
        <v>8</v>
      </c>
      <c r="D65" s="5">
        <v>4</v>
      </c>
      <c r="E65" s="11">
        <v>44246</v>
      </c>
      <c r="F65" s="11">
        <v>44611</v>
      </c>
      <c r="H65" t="str">
        <f t="shared" si="4"/>
        <v>(8,8,4,'2021-02-19','2022-02-19')</v>
      </c>
    </row>
    <row r="66" spans="2:8" x14ac:dyDescent="0.25">
      <c r="B66" s="5">
        <v>9</v>
      </c>
      <c r="C66" s="5">
        <v>9</v>
      </c>
      <c r="D66" s="5">
        <v>5</v>
      </c>
      <c r="E66" s="11">
        <v>43544</v>
      </c>
      <c r="F66" s="11">
        <v>44104</v>
      </c>
      <c r="H66" t="str">
        <f t="shared" si="4"/>
        <v>(9,9,5,'2019-03-20','2020-09-30')</v>
      </c>
    </row>
    <row r="67" spans="2:8" x14ac:dyDescent="0.25">
      <c r="B67" s="5">
        <v>10</v>
      </c>
      <c r="C67" s="5">
        <v>10</v>
      </c>
      <c r="D67" s="5">
        <v>2</v>
      </c>
      <c r="E67" s="11">
        <v>44215</v>
      </c>
      <c r="F67" s="11">
        <v>44275</v>
      </c>
      <c r="H67" t="str">
        <f t="shared" si="4"/>
        <v>(10,10,2,'2021-01-19','2021-03-20')</v>
      </c>
    </row>
    <row r="68" spans="2:8" x14ac:dyDescent="0.25">
      <c r="B68" s="5">
        <v>11</v>
      </c>
      <c r="C68" s="5">
        <v>11</v>
      </c>
      <c r="D68" s="5">
        <v>1</v>
      </c>
      <c r="E68" s="11">
        <v>43641</v>
      </c>
      <c r="F68" s="11">
        <v>43671</v>
      </c>
      <c r="H68" t="str">
        <f t="shared" si="4"/>
        <v>(11,11,1,'2019-06-25','2019-07-25')</v>
      </c>
    </row>
    <row r="69" spans="2:8" x14ac:dyDescent="0.25">
      <c r="B69" s="5">
        <v>12</v>
      </c>
      <c r="C69" s="5">
        <v>12</v>
      </c>
      <c r="D69" s="5">
        <v>2</v>
      </c>
      <c r="E69" s="11">
        <v>44150</v>
      </c>
      <c r="F69" s="11">
        <v>44210</v>
      </c>
      <c r="H69" t="str">
        <f t="shared" si="4"/>
        <v>(12,12,2,'2020-11-15','2021-01-14')</v>
      </c>
    </row>
    <row r="70" spans="2:8" x14ac:dyDescent="0.25">
      <c r="B70" s="5">
        <v>13</v>
      </c>
      <c r="C70" s="5">
        <v>13</v>
      </c>
      <c r="D70" s="5">
        <v>2</v>
      </c>
      <c r="E70" s="11">
        <v>43483</v>
      </c>
      <c r="F70" s="11">
        <v>43543</v>
      </c>
      <c r="H70" t="str">
        <f t="shared" si="4"/>
        <v>(13,13,2,'2019-01-18','2019-03-19')</v>
      </c>
    </row>
    <row r="71" spans="2:8" x14ac:dyDescent="0.25">
      <c r="B71" s="5">
        <v>14</v>
      </c>
      <c r="C71" s="5">
        <v>14</v>
      </c>
      <c r="D71" s="5">
        <v>1</v>
      </c>
      <c r="E71" s="11">
        <v>44162</v>
      </c>
      <c r="F71" s="11">
        <v>44192</v>
      </c>
      <c r="H71" t="str">
        <f t="shared" si="4"/>
        <v>(14,14,1,'2020-11-27','2020-12-27')</v>
      </c>
    </row>
    <row r="72" spans="2:8" x14ac:dyDescent="0.25">
      <c r="B72" s="5">
        <v>15</v>
      </c>
      <c r="C72" s="5">
        <v>15</v>
      </c>
      <c r="D72" s="5">
        <v>6</v>
      </c>
      <c r="E72" s="11">
        <v>43577</v>
      </c>
      <c r="F72" s="11">
        <v>44727</v>
      </c>
      <c r="H72" t="str">
        <f t="shared" si="4"/>
        <v>(15,15,6,'2019-04-22','2022-06-15')</v>
      </c>
    </row>
    <row r="73" spans="2:8" x14ac:dyDescent="0.25">
      <c r="B73" s="5">
        <v>16</v>
      </c>
      <c r="C73" s="5">
        <v>16</v>
      </c>
      <c r="D73" s="5">
        <v>1</v>
      </c>
      <c r="E73" s="11">
        <v>44331</v>
      </c>
      <c r="F73" s="11">
        <v>44361</v>
      </c>
      <c r="H73" t="str">
        <f t="shared" si="4"/>
        <v>(16,16,1,'2021-05-15','2021-06-14')</v>
      </c>
    </row>
    <row r="74" spans="2:8" x14ac:dyDescent="0.25">
      <c r="B74" s="5">
        <v>17</v>
      </c>
      <c r="C74" s="5">
        <v>17</v>
      </c>
      <c r="D74" s="5">
        <v>1</v>
      </c>
      <c r="E74" s="11">
        <v>43820</v>
      </c>
      <c r="F74" s="11">
        <v>43850</v>
      </c>
      <c r="H74" t="str">
        <f t="shared" si="4"/>
        <v>(17,17,1,'2019-12-21','2020-01-20')</v>
      </c>
    </row>
    <row r="75" spans="2:8" x14ac:dyDescent="0.25">
      <c r="B75" s="5">
        <v>18</v>
      </c>
      <c r="C75" s="5">
        <v>18</v>
      </c>
      <c r="D75" s="5">
        <v>3</v>
      </c>
      <c r="E75" s="11">
        <v>44065</v>
      </c>
      <c r="F75" s="11">
        <v>44185</v>
      </c>
      <c r="H75" t="str">
        <f t="shared" si="4"/>
        <v>(18,18,3,'2020-08-22','2020-12-20')</v>
      </c>
    </row>
    <row r="76" spans="2:8" x14ac:dyDescent="0.25">
      <c r="B76" s="5">
        <v>19</v>
      </c>
      <c r="C76" s="5">
        <v>19</v>
      </c>
      <c r="D76" s="5">
        <v>1</v>
      </c>
      <c r="E76" s="11">
        <v>44273</v>
      </c>
      <c r="F76" s="11">
        <v>44303</v>
      </c>
      <c r="H76" t="str">
        <f t="shared" si="4"/>
        <v>(19,19,1,'2021-03-18','2021-04-17')</v>
      </c>
    </row>
    <row r="77" spans="2:8" x14ac:dyDescent="0.25">
      <c r="B77" s="5">
        <v>20</v>
      </c>
      <c r="C77" s="5">
        <v>20</v>
      </c>
      <c r="D77" s="5">
        <v>3</v>
      </c>
      <c r="E77" s="11">
        <v>44022</v>
      </c>
      <c r="F77" s="11">
        <v>44142</v>
      </c>
      <c r="H77" t="str">
        <f t="shared" si="4"/>
        <v>(20,20,3,'2020-07-10','2020-11-07')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5" x14ac:dyDescent="0.25"/>
  <cols>
    <col min="2" max="2" width="10.140625" bestFit="1" customWidth="1"/>
  </cols>
  <sheetData>
    <row r="2" spans="2:2" x14ac:dyDescent="0.25">
      <c r="B2" s="9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2022-02-06T02:23:11Z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50853d68-54a0-4dfb-bbd6-e8de62e141f0</vt:lpwstr>
  </property>
</Properties>
</file>